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_Deleverage" sheetId="1" state="visible" r:id="rId1"/>
    <sheet xmlns:r="http://schemas.openxmlformats.org/officeDocument/2006/relationships" name="12_St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%"/>
  </numFmts>
  <fonts count="7">
    <font>
      <name val="Calibri"/>
      <family val="2"/>
      <color theme="1"/>
      <sz val="11"/>
      <scheme val="minor"/>
    </font>
    <font>
      <name val="Inter"/>
      <b val="1"/>
      <color rgb="FFF5F5F5"/>
      <sz val="14"/>
    </font>
    <font>
      <name val="Inter"/>
      <i val="1"/>
      <color rgb="FFA3A3A3"/>
      <sz val="9"/>
    </font>
    <font>
      <name val="Inter"/>
      <b val="1"/>
      <color rgb="FFF5F5F5"/>
      <sz val="11"/>
    </font>
    <font>
      <name val="Inter"/>
      <b val="1"/>
      <color rgb="FFA3A3A3"/>
      <sz val="10"/>
    </font>
    <font>
      <name val="Inter"/>
      <color rgb="FFF5F5F5"/>
      <sz val="10"/>
    </font>
    <font>
      <name val="Inter"/>
      <b val="1"/>
      <color rgb="FFF5F5F5"/>
      <sz val="10"/>
    </font>
  </fonts>
  <fills count="5">
    <fill>
      <patternFill/>
    </fill>
    <fill>
      <patternFill patternType="gray125"/>
    </fill>
    <fill>
      <patternFill patternType="solid">
        <fgColor rgb="FF141414"/>
        <bgColor rgb="FF141414"/>
      </patternFill>
    </fill>
    <fill>
      <patternFill patternType="solid">
        <fgColor rgb="FF080808"/>
        <bgColor rgb="FF080808"/>
      </patternFill>
    </fill>
    <fill>
      <patternFill patternType="solid">
        <fgColor rgb="FF1C1C1C"/>
        <bgColor rgb="FF1C1C1C"/>
      </patternFill>
    </fill>
  </fills>
  <borders count="6">
    <border>
      <left/>
      <right/>
      <top/>
      <bottom/>
      <diagonal/>
    </border>
    <border>
      <left style="thin">
        <color rgb="FF262626"/>
      </left>
      <right style="thin">
        <color rgb="FF262626"/>
      </right>
      <top style="thin">
        <color rgb="FF262626"/>
      </top>
      <bottom style="thin">
        <color rgb="FF262626"/>
      </bottom>
    </border>
    <border>
      <left/>
      <right/>
      <top style="thin">
        <color rgb="FF262626"/>
      </top>
      <bottom/>
      <diagonal/>
    </border>
    <border>
      <left/>
      <right style="thin">
        <color rgb="FF262626"/>
      </right>
      <top style="thin">
        <color rgb="FF262626"/>
      </top>
      <bottom/>
      <diagonal/>
    </border>
    <border>
      <left/>
      <right/>
      <top style="thin">
        <color rgb="FF262626"/>
      </top>
      <bottom style="thin">
        <color rgb="FF262626"/>
      </bottom>
      <diagonal/>
    </border>
    <border>
      <left/>
      <right style="thin">
        <color rgb="FF262626"/>
      </right>
      <top style="thin">
        <color rgb="FF262626"/>
      </top>
      <bottom style="thin">
        <color rgb="FF262626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right" vertical="center"/>
    </xf>
    <xf numFmtId="10" fontId="5" fillId="2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0" fontId="6" fillId="4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08C"/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22" customWidth="1" min="13" max="13"/>
    <col width="12" customWidth="1" min="14" max="14"/>
  </cols>
  <sheetData>
    <row r="1" ht="24" customHeight="1">
      <c r="A1" s="1" t="inlineStr">
        <is>
          <t>1.4 Deleveragings — four-lever decomposition + regime gate</t>
        </is>
      </c>
    </row>
    <row r="2">
      <c r="A2" s="2" t="inlineStr">
        <is>
          <t>Source: research/04_deleveragings.md §7 (worked values) + §8b (formulas). Inputs Dalio-cited; outputs computed.</t>
        </is>
      </c>
    </row>
    <row r="4">
      <c r="A4" s="3" t="inlineStr">
        <is>
          <t>case</t>
        </is>
      </c>
      <c r="B4" s="3" t="inlineStr">
        <is>
          <t>NGDP_yoy (%)</t>
        </is>
      </c>
      <c r="C4" s="3" t="inlineStr">
        <is>
          <t>LT_Rate (%)</t>
        </is>
      </c>
      <c r="D4" s="3" t="inlineStr">
        <is>
          <t>DebtGDP_t (%)</t>
        </is>
      </c>
      <c r="E4" s="3" t="inlineStr">
        <is>
          <t>DebtGDP_t-4 (%)</t>
        </is>
      </c>
      <c r="F4" s="3" t="inlineStr">
        <is>
          <t>M0_pctGDP_t (%)</t>
        </is>
      </c>
      <c r="G4" s="3" t="inlineStr">
        <is>
          <t>M0_pctGDP_t-4 (%)</t>
        </is>
      </c>
      <c r="H4" s="3" t="inlineStr">
        <is>
          <t>CB_pctGDP_t (%)</t>
        </is>
      </c>
      <c r="I4" s="3" t="inlineStr">
        <is>
          <t>CB_pctGDP_t-4 (%)</t>
        </is>
      </c>
      <c r="J4" s="3" t="inlineStr">
        <is>
          <t>G_gap (pp)</t>
        </is>
      </c>
      <c r="K4" s="3" t="inlineStr">
        <is>
          <t>ΔDebtGDP (pp)</t>
        </is>
      </c>
      <c r="L4" s="3" t="inlineStr">
        <is>
          <t>pi_total (pp)</t>
        </is>
      </c>
      <c r="M4" s="3" t="inlineStr">
        <is>
          <t>regime</t>
        </is>
      </c>
      <c r="N4" s="3" t="inlineStr">
        <is>
          <t>beautiful</t>
        </is>
      </c>
    </row>
    <row r="5">
      <c r="A5" s="4" t="inlineStr">
        <is>
          <t>US 1930-32</t>
        </is>
      </c>
      <c r="B5" s="5" t="n">
        <v>-17</v>
      </c>
      <c r="C5" s="5" t="n">
        <v>3.4</v>
      </c>
      <c r="D5" s="5" t="n">
        <v>252</v>
      </c>
      <c r="E5" s="5" t="n">
        <v>155</v>
      </c>
      <c r="F5" s="5" t="n">
        <v>0.4</v>
      </c>
      <c r="G5" s="5" t="n">
        <v>0</v>
      </c>
      <c r="H5" s="5" t="n">
        <v>0.4</v>
      </c>
      <c r="I5" s="5" t="n">
        <v>0</v>
      </c>
      <c r="J5" s="5">
        <f>B5-C5</f>
        <v/>
      </c>
      <c r="K5" s="5">
        <f>D5-E5</f>
        <v/>
      </c>
      <c r="L5" s="5">
        <f>(F5-G5)+(H5-I5)</f>
        <v/>
      </c>
      <c r="M5" s="6">
        <f>IFS(AND(J5&gt;0,L5&gt;0,J5&gt;0,L5&gt;0,L5&lt;0.5),"UGLY_INFLATIONARY",AND(J5&gt;0,K5&lt;0,L5&gt;=0.5,L5&lt;=4),"BEAUTIFUL",AND(J5&lt;0,K5&gt;0),"UGLY_DEFLATIONARY",TRUE,"TRANSITIONAL")</f>
        <v/>
      </c>
      <c r="N5" s="5">
        <f>IF(AND(J5&gt;=0,J5&lt;=3,K5&lt;0,L5&gt;=0.5,L5&lt;=4),1,0)</f>
        <v/>
      </c>
    </row>
    <row r="6">
      <c r="A6" s="4" t="inlineStr">
        <is>
          <t>US 1933-37</t>
        </is>
      </c>
      <c r="B6" s="5" t="n">
        <v>9.199999999999999</v>
      </c>
      <c r="C6" s="5" t="n">
        <v>2.9</v>
      </c>
      <c r="D6" s="5" t="n">
        <v>235</v>
      </c>
      <c r="E6" s="5" t="n">
        <v>252</v>
      </c>
      <c r="F6" s="5" t="n">
        <v>1.7</v>
      </c>
      <c r="G6" s="5" t="n">
        <v>0</v>
      </c>
      <c r="H6" s="5" t="n">
        <v>0.3</v>
      </c>
      <c r="I6" s="5" t="n">
        <v>0</v>
      </c>
      <c r="J6" s="5">
        <f>B6-C6</f>
        <v/>
      </c>
      <c r="K6" s="5">
        <f>D6-E6</f>
        <v/>
      </c>
      <c r="L6" s="5">
        <f>(F6-G6)+(H6-I6)</f>
        <v/>
      </c>
      <c r="M6" s="6">
        <f>IFS(AND(J6&gt;0,L6&gt;0,J6&gt;0,L6&gt;0,L6&lt;0.5),"UGLY_INFLATIONARY",AND(J6&gt;0,K6&lt;0,L6&gt;=0.5,L6&lt;=4),"BEAUTIFUL",AND(J6&lt;0,K6&gt;0),"UGLY_DEFLATIONARY",TRUE,"TRANSITIONAL")</f>
        <v/>
      </c>
      <c r="N6" s="5">
        <f>IF(AND(J6&gt;=0,J6&lt;=3,K6&lt;0,L6&gt;=0.5,L6&lt;=4),1,0)</f>
        <v/>
      </c>
    </row>
    <row r="7">
      <c r="A7" s="4" t="inlineStr">
        <is>
          <t>Japan 1990+</t>
        </is>
      </c>
      <c r="B7" s="5" t="n">
        <v>0.6</v>
      </c>
      <c r="C7" s="5" t="n">
        <v>2.6</v>
      </c>
      <c r="D7" s="5" t="n">
        <v>498</v>
      </c>
      <c r="E7" s="5" t="n">
        <v>403</v>
      </c>
      <c r="F7" s="5" t="n">
        <v>0.7</v>
      </c>
      <c r="G7" s="5" t="n">
        <v>0</v>
      </c>
      <c r="H7" s="5" t="n">
        <v>0.1</v>
      </c>
      <c r="I7" s="5" t="n">
        <v>0</v>
      </c>
      <c r="J7" s="5">
        <f>B7-C7</f>
        <v/>
      </c>
      <c r="K7" s="5">
        <f>D7-E7</f>
        <v/>
      </c>
      <c r="L7" s="5">
        <f>(F7-G7)+(H7-I7)</f>
        <v/>
      </c>
      <c r="M7" s="6">
        <f>IFS(AND(J7&gt;0,L7&gt;0,J7&gt;0,L7&gt;0,L7&lt;0.5),"UGLY_INFLATIONARY",AND(J7&gt;0,K7&lt;0,L7&gt;=0.5,L7&lt;=4),"BEAUTIFUL",AND(J7&lt;0,K7&gt;0),"UGLY_DEFLATIONARY",TRUE,"TRANSITIONAL")</f>
        <v/>
      </c>
      <c r="N7" s="5">
        <f>IF(AND(J7&gt;=0,J7&lt;=3,K7&lt;0,L7&gt;=0.5,L7&lt;=4),1,0)</f>
        <v/>
      </c>
    </row>
    <row r="9">
      <c r="A9" s="7" t="inlineStr">
        <is>
          <t>DERIVED notes:</t>
        </is>
      </c>
    </row>
    <row r="10">
      <c r="A10" s="8" t="inlineStr">
        <is>
          <t>• G_gap, ΔDebtGDP, pi_total formulas verbatim from research/04 §8b.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10" t="n"/>
    </row>
    <row r="11">
      <c r="A11" s="8" t="inlineStr">
        <is>
          <t>• regime IFS shown is the deleveragings-only path; full version has CPI_yoy and FX_Gold gates (need additional inputs).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10" t="n"/>
    </row>
    <row r="12">
      <c r="A12" s="8" t="inlineStr">
        <is>
          <t>• t-4 lag values for M0/CB stylized (Dalio §7 reports level-only). G_gap and pi_total totals match §7 worked text.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10" t="n"/>
    </row>
    <row r="13">
      <c r="A13" s="8" t="inlineStr">
        <is>
          <t>• Open in Excel → values auto-compute. Formula bar shows §8b expressions verbatim.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10" t="n"/>
    </row>
  </sheetData>
  <mergeCells count="7">
    <mergeCell ref="A9:N9"/>
    <mergeCell ref="A1:J1"/>
    <mergeCell ref="A12:N12"/>
    <mergeCell ref="A2:J2"/>
    <mergeCell ref="A11:N11"/>
    <mergeCell ref="A10:N10"/>
    <mergeCell ref="A13:N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5484D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2.5 Stress Testing — All-Weather portfolio under Dalio archetypes</t>
        </is>
      </c>
    </row>
    <row r="2">
      <c r="A2" s="2" t="inlineStr">
        <is>
          <t>Source: research/12 §5 (shock matrix S) + §7 Table 7.1 (contributions). Per-archetype return = SUMPRODUCT(w, column of S).</t>
        </is>
      </c>
    </row>
    <row r="4">
      <c r="A4" s="7" t="inlineStr">
        <is>
          <t>Step 1 — Archetype shock matrix S (5 sleeves × 4 archetypes)</t>
        </is>
      </c>
    </row>
    <row r="5">
      <c r="A5" s="3" t="inlineStr">
        <is>
          <t>sleeve</t>
        </is>
      </c>
      <c r="B5" s="3" t="inlineStr">
        <is>
          <t>weight w_i</t>
        </is>
      </c>
      <c r="C5" s="3" t="inlineStr">
        <is>
          <t>Defl.</t>
        </is>
      </c>
      <c r="D5" s="3" t="inlineStr">
        <is>
          <t>Infl.</t>
        </is>
      </c>
      <c r="E5" s="3" t="inlineStr">
        <is>
          <t>Stag.</t>
        </is>
      </c>
      <c r="F5" s="3" t="inlineStr">
        <is>
          <t>Refl.</t>
        </is>
      </c>
    </row>
    <row r="6">
      <c r="A6" s="4" t="inlineStr">
        <is>
          <t>SPX</t>
        </is>
      </c>
      <c r="B6" s="11" t="n">
        <v>0.3</v>
      </c>
      <c r="C6" s="12" t="n">
        <v>-0.5</v>
      </c>
      <c r="D6" s="12" t="n">
        <v>-0.3</v>
      </c>
      <c r="E6" s="12" t="n">
        <v>-0.37</v>
      </c>
      <c r="F6" s="12" t="n">
        <v>0.25</v>
      </c>
    </row>
    <row r="7">
      <c r="A7" s="4" t="inlineStr">
        <is>
          <t>Long Tsy</t>
        </is>
      </c>
      <c r="B7" s="11" t="n">
        <v>0.4</v>
      </c>
      <c r="C7" s="12" t="n">
        <v>0.2</v>
      </c>
      <c r="D7" s="12" t="n">
        <v>-0.5</v>
      </c>
      <c r="E7" s="12" t="n">
        <v>-0.05</v>
      </c>
      <c r="F7" s="12" t="n">
        <v>0.05</v>
      </c>
    </row>
    <row r="8">
      <c r="A8" s="4" t="inlineStr">
        <is>
          <t>Int Tsy</t>
        </is>
      </c>
      <c r="B8" s="11" t="n">
        <v>0.15</v>
      </c>
      <c r="C8" s="12" t="n">
        <v>0.1</v>
      </c>
      <c r="D8" s="12" t="n">
        <v>-0.4</v>
      </c>
      <c r="E8" s="12" t="n">
        <v>0.02</v>
      </c>
      <c r="F8" s="12" t="n">
        <v>0.03</v>
      </c>
    </row>
    <row r="9">
      <c r="A9" s="4" t="inlineStr">
        <is>
          <t>Gold</t>
        </is>
      </c>
      <c r="B9" s="11" t="n">
        <v>0.075</v>
      </c>
      <c r="C9" s="12" t="n">
        <v>0</v>
      </c>
      <c r="D9" s="12" t="n">
        <v>0.8</v>
      </c>
      <c r="E9" s="12" t="n">
        <v>1</v>
      </c>
      <c r="F9" s="12" t="n">
        <v>0.1</v>
      </c>
    </row>
    <row r="10">
      <c r="A10" s="4" t="inlineStr">
        <is>
          <t>Commodities</t>
        </is>
      </c>
      <c r="B10" s="11" t="n">
        <v>0.075</v>
      </c>
      <c r="C10" s="12" t="n">
        <v>-0.35</v>
      </c>
      <c r="D10" s="12" t="n">
        <v>0.4</v>
      </c>
      <c r="E10" s="12" t="n">
        <v>0.3</v>
      </c>
      <c r="F10" s="12" t="n">
        <v>0.15</v>
      </c>
    </row>
    <row r="12">
      <c r="A12" s="7" t="inlineStr">
        <is>
          <t>Step 2 — Per-sleeve contribution C_{i,e} = w_i × S_{i,e}</t>
        </is>
      </c>
    </row>
    <row r="13">
      <c r="A13" s="3" t="inlineStr">
        <is>
          <t>sleeve</t>
        </is>
      </c>
      <c r="B13" s="3" t="inlineStr"/>
      <c r="C13" s="3" t="inlineStr">
        <is>
          <t>Defl.</t>
        </is>
      </c>
      <c r="D13" s="3" t="inlineStr">
        <is>
          <t>Infl.</t>
        </is>
      </c>
      <c r="E13" s="3" t="inlineStr">
        <is>
          <t>Stag.</t>
        </is>
      </c>
      <c r="F13" s="3" t="inlineStr">
        <is>
          <t>Refl.</t>
        </is>
      </c>
    </row>
    <row r="14">
      <c r="A14" s="4">
        <f>A6</f>
        <v/>
      </c>
      <c r="B14" t="inlineStr"/>
      <c r="C14" s="12">
        <f>$B$6*C6</f>
        <v/>
      </c>
      <c r="D14" s="12">
        <f>$B$6*D6</f>
        <v/>
      </c>
      <c r="E14" s="12">
        <f>$B$6*E6</f>
        <v/>
      </c>
      <c r="F14" s="12">
        <f>$B$6*F6</f>
        <v/>
      </c>
    </row>
    <row r="15">
      <c r="A15" s="4">
        <f>A7</f>
        <v/>
      </c>
      <c r="B15" t="inlineStr"/>
      <c r="C15" s="12">
        <f>$B$7*C7</f>
        <v/>
      </c>
      <c r="D15" s="12">
        <f>$B$7*D7</f>
        <v/>
      </c>
      <c r="E15" s="12">
        <f>$B$7*E7</f>
        <v/>
      </c>
      <c r="F15" s="12">
        <f>$B$7*F7</f>
        <v/>
      </c>
    </row>
    <row r="16">
      <c r="A16" s="4">
        <f>A8</f>
        <v/>
      </c>
      <c r="B16" t="inlineStr"/>
      <c r="C16" s="12">
        <f>$B$8*C8</f>
        <v/>
      </c>
      <c r="D16" s="12">
        <f>$B$8*D8</f>
        <v/>
      </c>
      <c r="E16" s="12">
        <f>$B$8*E8</f>
        <v/>
      </c>
      <c r="F16" s="12">
        <f>$B$8*F8</f>
        <v/>
      </c>
    </row>
    <row r="17">
      <c r="A17" s="4">
        <f>A9</f>
        <v/>
      </c>
      <c r="B17" t="inlineStr"/>
      <c r="C17" s="12">
        <f>$B$9*C9</f>
        <v/>
      </c>
      <c r="D17" s="12">
        <f>$B$9*D9</f>
        <v/>
      </c>
      <c r="E17" s="12">
        <f>$B$9*E9</f>
        <v/>
      </c>
      <c r="F17" s="12">
        <f>$B$9*F9</f>
        <v/>
      </c>
    </row>
    <row r="18">
      <c r="A18" s="4">
        <f>A10</f>
        <v/>
      </c>
      <c r="B18" t="inlineStr"/>
      <c r="C18" s="12">
        <f>$B$10*C10</f>
        <v/>
      </c>
      <c r="D18" s="12">
        <f>$B$10*D10</f>
        <v/>
      </c>
      <c r="E18" s="12">
        <f>$B$10*E10</f>
        <v/>
      </c>
      <c r="F18" s="12">
        <f>$B$10*F10</f>
        <v/>
      </c>
    </row>
    <row r="19">
      <c r="A19" s="13" t="inlineStr">
        <is>
          <t>R^port_e</t>
        </is>
      </c>
      <c r="B19" t="inlineStr"/>
      <c r="C19" s="14">
        <f>SUM(C14:C18)</f>
        <v/>
      </c>
      <c r="D19" s="14">
        <f>SUM(D14:D18)</f>
        <v/>
      </c>
      <c r="E19" s="14">
        <f>SUM(E14:E18)</f>
        <v/>
      </c>
      <c r="F19" s="14">
        <f>SUM(F14:F18)</f>
        <v/>
      </c>
    </row>
    <row r="21">
      <c r="A21" s="7" t="inlineStr">
        <is>
          <t>Verification — research/12 §7 Table 7.1 sum row (byte-exact target)</t>
        </is>
      </c>
    </row>
    <row r="22">
      <c r="A22" s="4" t="inlineStr">
        <is>
          <t>R^port_e (Table 7.1)</t>
        </is>
      </c>
      <c r="B22" s="6" t="inlineStr">
        <is>
          <t>—</t>
        </is>
      </c>
      <c r="C22" s="12" t="n">
        <v>-0.08125</v>
      </c>
      <c r="D22" s="12" t="n">
        <v>-0.26</v>
      </c>
      <c r="E22" s="12" t="n">
        <v>-0.0305</v>
      </c>
      <c r="F22" s="12" t="n">
        <v>0.11825</v>
      </c>
    </row>
    <row r="23">
      <c r="A23" s="4" t="inlineStr">
        <is>
          <t>diff (computed − target)</t>
        </is>
      </c>
      <c r="B23" t="inlineStr"/>
      <c r="C23" s="15">
        <f>C19-C22</f>
        <v/>
      </c>
      <c r="D23" s="15">
        <f>D19-D22</f>
        <v/>
      </c>
      <c r="E23" s="15">
        <f>E19-E22</f>
        <v/>
      </c>
      <c r="F23" s="15">
        <f>F19-F22</f>
        <v/>
      </c>
    </row>
    <row r="25">
      <c r="A25" s="8" t="inlineStr">
        <is>
          <t>• Shock matrix S verbatim from research/12 §5 Step 1.</t>
        </is>
      </c>
      <c r="B25" s="9" t="n"/>
      <c r="C25" s="9" t="n"/>
      <c r="D25" s="9" t="n"/>
      <c r="E25" s="9" t="n"/>
      <c r="F25" s="10" t="n"/>
    </row>
    <row r="26">
      <c r="A26" s="8" t="inlineStr">
        <is>
          <t>• Weights w = Robbins (2014) 30/40/15/7.5/7.5 — Dalio canon via Tony Robbins.</t>
        </is>
      </c>
      <c r="B26" s="9" t="n"/>
      <c r="C26" s="9" t="n"/>
      <c r="D26" s="9" t="n"/>
      <c r="E26" s="9" t="n"/>
      <c r="F26" s="10" t="n"/>
    </row>
    <row r="27">
      <c r="A27" s="8" t="inlineStr">
        <is>
          <t>• Sum-row formulas SUMPRODUCT-equivalent via per-cell C_{i,e} + SUM column.</t>
        </is>
      </c>
      <c r="B27" s="9" t="n"/>
      <c r="C27" s="9" t="n"/>
      <c r="D27" s="9" t="n"/>
      <c r="E27" s="9" t="n"/>
      <c r="F27" s="10" t="n"/>
    </row>
    <row r="28">
      <c r="A28" s="8" t="inlineStr">
        <is>
          <t>• Diff row should show 0.00% across all four archetypes (computed matches Table 7.1).</t>
        </is>
      </c>
      <c r="B28" s="9" t="n"/>
      <c r="C28" s="9" t="n"/>
      <c r="D28" s="9" t="n"/>
      <c r="E28" s="9" t="n"/>
      <c r="F28" s="10" t="n"/>
    </row>
  </sheetData>
  <mergeCells count="9">
    <mergeCell ref="A1:G1"/>
    <mergeCell ref="A28:F28"/>
    <mergeCell ref="A21:G21"/>
    <mergeCell ref="A12:G12"/>
    <mergeCell ref="A4:G4"/>
    <mergeCell ref="A27:F27"/>
    <mergeCell ref="A2:G2"/>
    <mergeCell ref="A26:F2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2026-05-06T02:36:05Z</dcterms:created>
  <dcterms:modified xmlns:dcterms="http://purl.org/dc/terms/" xmlns:xsi="http://www.w3.org/2001/XMLSchema-instance" xsi:type="dcterms:W3CDTF">2026-05-06T02:36:06Z</dcterms:modified>
</cp:coreProperties>
</file>